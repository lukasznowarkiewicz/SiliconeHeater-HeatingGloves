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ool for rou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<sst xmlns="http://schemas.openxmlformats.org/spreadsheetml/2006/main" count="62" uniqueCount="38">
  <si>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Known values</t>
  </si>
  <si>
    <t>Defined quantities</t>
  </si>
  <si>
    <t>Resistance</t>
  </si>
  <si>
    <t>R</t>
  </si>
  <si>
    <t>Ω</t>
  </si>
  <si>
    <t>Heating area length</t>
  </si>
  <si>
    <t>mm</t>
  </si>
  <si>
    <t>Resistivity</t>
  </si>
  <si>
    <t>ρ</t>
  </si>
  <si>
    <t>Ω·mm</t>
  </si>
  <si>
    <t>Heating area width</t>
  </si>
  <si>
    <t>Material thickness</t>
  </si>
  <si>
    <t>d</t>
  </si>
  <si>
    <t>Number of heating wire groups</t>
  </si>
  <si>
    <t>Set</t>
  </si>
  <si>
    <t>Ratio</t>
  </si>
  <si>
    <t>L/W</t>
  </si>
  <si>
    <t>/</t>
  </si>
  <si>
    <t>Assumed line width</t>
  </si>
  <si>
    <t>Line length</t>
  </si>
  <si>
    <t>Results</t>
  </si>
  <si>
    <t>Horizontal routing</t>
  </si>
  <si>
    <t>Vertical routing</t>
  </si>
  <si>
    <t>Number of routable lines</t>
  </si>
  <si>
    <t>Piece</t>
  </si>
  <si>
    <t>Centerline spacing</t>
  </si>
  <si>
    <t>Heating wire spacing</t>
  </si>
  <si>
    <t>Half centerline spacing</t>
  </si>
  <si>
    <t>Material</t>
  </si>
  <si>
    <t>Thickness (mm)</t>
  </si>
  <si>
    <t>Resistivity (Ω·mm)</t>
  </si>
  <si>
    <t>Copper (CU)</t>
  </si>
  <si>
    <t>Calculated line width (reverse calculation)</t>
  </si>
  <si>
    <t>Actual line length</t>
  </si>
  <si>
    <t>STS（SUS304)</t>
  </si>
  <si>
    <t>Line width</t>
  </si>
  <si>
    <t>Half line width</t>
  </si>
  <si>
    <t>FeCrAl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</si>
</sst>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0_ "/>
    <numFmt numFmtId="179" formatCode="0.0000_ "/>
  </numFmts>
  <fonts count="29">
    <font>
      <sz val="12"/>
      <name val="宋体"/>
      <charset val="134"/>
    </font>
    <font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12"/>
      <color theme="1"/>
      <name val="微软雅黑"/>
      <charset val="134"/>
    </font>
    <font>
      <i/>
      <sz val="12"/>
      <color theme="1"/>
      <name val="微软雅黑"/>
      <charset val="134"/>
    </font>
    <font>
      <b/>
      <sz val="14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7" fontId="1" fillId="5" borderId="1" xfId="0" applyNumberFormat="1" applyFont="1" applyFill="1" applyBorder="1" applyAlignment="1">
      <alignment horizontal="center" vertical="center"/>
    </xf>
    <xf numFmtId="178" fontId="1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79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E28" sqref="E28"/>
    </sheetView>
  </sheetViews>
  <sheetFormatPr defaultColWidth="9" defaultRowHeight="17.25"/>
  <cols>
    <col min="1" max="1" width="29.125" style="1" customWidth="1"/>
    <col min="2" max="2" width="12.25" style="1" customWidth="1"/>
    <col min="3" max="3" width="12.875" style="1" customWidth="1"/>
    <col min="4" max="4" width="29.125" style="1" customWidth="1"/>
    <col min="5" max="5" width="36.5" style="1" customWidth="1"/>
    <col min="6" max="6" width="14.125" style="1" customWidth="1"/>
    <col min="7" max="7" width="5.125" style="1" customWidth="1"/>
    <col min="8" max="8" width="10.875" style="1" customWidth="1"/>
    <col min="9" max="9" width="17.5" style="1" customWidth="1"/>
    <col min="10" max="10" width="21.5" style="1" customWidth="1"/>
    <col min="11" max="11" width="25.625" style="1" customWidth="1"/>
    <col min="12" max="16384" width="9" style="1"/>
  </cols>
  <sheetData>
    <row r="1" ht="21" spans="1:11">
      <c r="A1" s="2" t="s">
        <v>0</v>
      </c>
      <c r="B1" s="2"/>
      <c r="C1" s="2"/>
      <c r="D1" s="2"/>
      <c r="E1" s="3" t="s">
        <v>1</v>
      </c>
      <c r="F1" s="3"/>
      <c r="G1" s="3"/>
      <c r="I1" s="25"/>
      <c r="J1" s="25"/>
      <c r="K1" s="25"/>
    </row>
    <row r="2" ht="18" spans="1:11">
      <c r="A2" s="4" t="s">
        <v>2</v>
      </c>
      <c r="B2" s="5" t="s">
        <v>3</v>
      </c>
      <c r="C2" s="6">
        <v>10</v>
      </c>
      <c r="D2" s="5" t="s">
        <v>4</v>
      </c>
      <c r="E2" s="3" t="s">
        <v>5</v>
      </c>
      <c r="F2" s="7">
        <v>100</v>
      </c>
      <c r="G2" s="8" t="s">
        <v>6</v>
      </c>
      <c r="I2" s="26"/>
      <c r="J2" s="27"/>
      <c r="K2" s="27"/>
    </row>
    <row r="3" ht="18" spans="1:11">
      <c r="A3" s="4" t="s">
        <v>7</v>
      </c>
      <c r="B3" s="9" t="s">
        <v>8</v>
      </c>
      <c r="C3" s="6">
        <v>0.00142</v>
      </c>
      <c r="D3" s="5" t="s">
        <v>9</v>
      </c>
      <c r="E3" s="3" t="s">
        <v>10</v>
      </c>
      <c r="F3" s="7">
        <v>100</v>
      </c>
      <c r="G3" s="8" t="s">
        <v>6</v>
      </c>
      <c r="I3" s="26"/>
      <c r="J3" s="27"/>
      <c r="K3" s="27"/>
    </row>
    <row r="4" ht="18" spans="1:11">
      <c r="A4" s="4" t="s">
        <v>11</v>
      </c>
      <c r="B4" s="5" t="s">
        <v>12</v>
      </c>
      <c r="C4" s="6">
        <v>0.03</v>
      </c>
      <c r="D4" s="5" t="s">
        <v>6</v>
      </c>
      <c r="E4" s="3" t="s">
        <v>13</v>
      </c>
      <c r="F4" s="7">
        <v>1</v>
      </c>
      <c r="G4" s="8" t="s">
        <v>14</v>
      </c>
      <c r="I4" s="26"/>
      <c r="J4" s="27"/>
      <c r="K4" s="27"/>
    </row>
    <row r="5" ht="18" spans="1:11">
      <c r="A5" s="4" t="s">
        <v>15</v>
      </c>
      <c r="B5" s="10" t="s">
        <v>16</v>
      </c>
      <c r="C5" s="11">
        <f>C2*C4/C3</f>
        <v>211.267605633803</v>
      </c>
      <c r="D5" s="5" t="s">
        <v>17</v>
      </c>
      <c r="E5" s="3" t="s">
        <v>18</v>
      </c>
      <c r="F5" s="7">
        <v>3.5</v>
      </c>
      <c r="G5" s="8" t="s">
        <v>6</v>
      </c>
      <c r="I5" s="26"/>
      <c r="J5" s="27"/>
      <c r="K5" s="27"/>
    </row>
    <row r="6" ht="18" spans="1:11">
      <c r="A6" s="10"/>
      <c r="B6" s="12"/>
      <c r="C6" s="12"/>
      <c r="D6" s="12"/>
      <c r="E6" s="3" t="s">
        <v>19</v>
      </c>
      <c r="F6" s="13">
        <f>F4*F4*C5*F5</f>
        <v>739.43661971831</v>
      </c>
      <c r="G6" s="8" t="s">
        <v>6</v>
      </c>
      <c r="I6" s="26"/>
      <c r="J6" s="28"/>
      <c r="K6" s="27"/>
    </row>
    <row r="7" ht="18" spans="1:11">
      <c r="A7" s="14" t="s">
        <v>20</v>
      </c>
      <c r="B7" s="14"/>
      <c r="C7" s="14"/>
      <c r="D7" s="14"/>
      <c r="E7" s="14"/>
      <c r="F7" s="14"/>
      <c r="G7" s="14"/>
      <c r="I7" s="29"/>
      <c r="J7" s="28"/>
      <c r="K7" s="28"/>
    </row>
    <row r="8" ht="18" spans="1:11">
      <c r="A8" s="14" t="s">
        <v>21</v>
      </c>
      <c r="B8" s="14"/>
      <c r="C8" s="14"/>
      <c r="D8" s="14" t="s">
        <v>22</v>
      </c>
      <c r="E8" s="14"/>
      <c r="F8" s="14"/>
      <c r="G8" s="15"/>
      <c r="I8" s="29"/>
      <c r="J8" s="28"/>
      <c r="K8" s="28"/>
    </row>
    <row r="9" ht="18" spans="1:11">
      <c r="A9" s="14" t="s">
        <v>23</v>
      </c>
      <c r="B9" s="16">
        <f>EVEN(F6/F2)</f>
        <v>8</v>
      </c>
      <c r="C9" s="15" t="s">
        <v>24</v>
      </c>
      <c r="D9" s="14" t="s">
        <v>23</v>
      </c>
      <c r="E9" s="16">
        <f>EVEN(F6/F3)</f>
        <v>8</v>
      </c>
      <c r="F9" s="15" t="s">
        <v>24</v>
      </c>
      <c r="G9" s="15"/>
      <c r="I9" s="29"/>
      <c r="J9" s="28"/>
      <c r="K9" s="28"/>
    </row>
    <row r="10" ht="18" spans="1:11">
      <c r="A10" s="14" t="s">
        <v>25</v>
      </c>
      <c r="B10" s="17">
        <f>F3/(B9-1)</f>
        <v>14.2857142857143</v>
      </c>
      <c r="C10" s="15" t="s">
        <v>6</v>
      </c>
      <c r="D10" s="14" t="s">
        <v>25</v>
      </c>
      <c r="E10" s="17">
        <f>F2/(E9-1)</f>
        <v>14.2857142857143</v>
      </c>
      <c r="F10" s="15" t="s">
        <v>6</v>
      </c>
      <c r="G10" s="15"/>
      <c r="I10" s="29"/>
      <c r="J10" s="28"/>
      <c r="K10" s="28"/>
    </row>
    <row r="11" ht="18" spans="1:7">
      <c r="A11" s="14" t="s">
        <v>26</v>
      </c>
      <c r="B11" s="17">
        <f>B10-F5</f>
        <v>10.7857142857143</v>
      </c>
      <c r="C11" s="15" t="s">
        <v>6</v>
      </c>
      <c r="D11" s="14" t="s">
        <v>26</v>
      </c>
      <c r="E11" s="17">
        <f>E10-F5</f>
        <v>10.7857142857143</v>
      </c>
      <c r="F11" s="15" t="s">
        <v>6</v>
      </c>
      <c r="G11" s="15"/>
    </row>
    <row r="12" ht="21" spans="1:11">
      <c r="A12" s="18" t="s">
        <v>27</v>
      </c>
      <c r="B12" s="19">
        <f>B10/2</f>
        <v>7.14285714285714</v>
      </c>
      <c r="C12" s="15" t="s">
        <v>6</v>
      </c>
      <c r="D12" s="15"/>
      <c r="E12" s="19">
        <f>E10/2</f>
        <v>7.14285714285714</v>
      </c>
      <c r="F12" s="15" t="s">
        <v>6</v>
      </c>
      <c r="G12" s="15"/>
      <c r="H12" s="20"/>
      <c r="I12" s="30" t="s">
        <v>28</v>
      </c>
      <c r="J12" s="30" t="s">
        <v>29</v>
      </c>
      <c r="K12" s="30" t="s">
        <v>30</v>
      </c>
    </row>
    <row r="13" spans="9:11">
      <c r="I13" s="31" t="s">
        <v>31</v>
      </c>
      <c r="J13" s="31">
        <v>0.03</v>
      </c>
      <c r="K13" s="31">
        <v>6.7e-5</v>
      </c>
    </row>
    <row r="14" ht="18" spans="1:11">
      <c r="A14" s="21" t="s">
        <v>32</v>
      </c>
      <c r="B14" s="22"/>
      <c r="C14" s="23"/>
      <c r="I14" s="31" t="s">
        <v>31</v>
      </c>
      <c r="J14" s="31">
        <v>0.05</v>
      </c>
      <c r="K14" s="31">
        <v>6.7e-5</v>
      </c>
    </row>
    <row r="15" ht="18" spans="1:11">
      <c r="A15" s="4" t="s">
        <v>33</v>
      </c>
      <c r="B15" s="6">
        <v>730</v>
      </c>
      <c r="C15" s="10" t="s">
        <v>6</v>
      </c>
      <c r="I15" s="31" t="s">
        <v>34</v>
      </c>
      <c r="J15" s="31">
        <v>0.03</v>
      </c>
      <c r="K15" s="31">
        <v>0.00073</v>
      </c>
    </row>
    <row r="16" ht="18" spans="1:11">
      <c r="A16" s="4" t="s">
        <v>35</v>
      </c>
      <c r="B16" s="24">
        <f>C3*B15/(C2*C4*F4)</f>
        <v>3.45533333333333</v>
      </c>
      <c r="C16" s="10" t="s">
        <v>6</v>
      </c>
      <c r="I16" s="31" t="s">
        <v>34</v>
      </c>
      <c r="J16" s="31">
        <v>0.05</v>
      </c>
      <c r="K16" s="31">
        <v>0.00073</v>
      </c>
    </row>
    <row r="17" ht="18" spans="1:11">
      <c r="A17" s="4" t="s">
        <v>36</v>
      </c>
      <c r="B17" s="24">
        <f>B16/2</f>
        <v>1.72766666666667</v>
      </c>
      <c r="C17" s="10" t="s">
        <v>6</v>
      </c>
      <c r="I17" s="32" t="s">
        <v>37</v>
      </c>
      <c r="J17" s="32">
        <v>0.03</v>
      </c>
      <c r="K17" s="32">
        <v>0.00142</v>
      </c>
    </row>
    <row r="18" ht="18" spans="9:11">
      <c r="I18" s="29"/>
      <c r="J18" s="28"/>
      <c r="K18" s="28"/>
    </row>
    <row r="19" ht="18" spans="1:11">
      <c r="A19" s="1" t="s">
        <v>7</v>
      </c>
      <c r="B19" s="1" t="s">
        <v>19</v>
      </c>
      <c r="C19" s="1" t="s">
        <v>35</v>
      </c>
      <c r="D19" s="1" t="s">
        <v>11</v>
      </c>
      <c r="F19" s="1" t="s">
        <v>2</v>
      </c>
      <c r="I19" s="29"/>
      <c r="J19" s="28"/>
      <c r="K19" s="28"/>
    </row>
    <row r="20" spans="1:6">
      <c r="A20" s="1">
        <v>0.00142</v>
      </c>
      <c r="B20" s="1">
        <v>730</v>
      </c>
      <c r="C20" s="1">
        <v>3.45</v>
      </c>
      <c r="D20" s="1">
        <v>0.03</v>
      </c>
      <c r="F20" s="1">
        <f>A20*B20/C20/D20</f>
        <v>10.0154589371981</v>
      </c>
    </row>
    <row r="21" ht="18" spans="9:11">
      <c r="I21" s="29"/>
      <c r="J21" s="28"/>
      <c r="K21" s="27"/>
    </row>
    <row r="22" spans="9:11">
      <c r="I22" s="26"/>
      <c r="J22" s="27"/>
      <c r="K22" s="26"/>
    </row>
    <row r="23" spans="9:11">
      <c r="I23" s="26"/>
      <c r="J23" s="27"/>
      <c r="K23" s="26"/>
    </row>
  </sheetData>
  <mergeCells count="6">
    <mergeCell ref="A1:D1"/>
    <mergeCell ref="E1:G1"/>
    <mergeCell ref="A7:G7"/>
    <mergeCell ref="A8:C8"/>
    <mergeCell ref="D8:F8"/>
    <mergeCell ref="A14:C14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Tool for routing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John Zhang</cp:lastModifiedBy>
  <dcterms:created xsi:type="dcterms:W3CDTF">2019-12-09T07:46:00Z</dcterms:created>
  <dcterms:modified xsi:type="dcterms:W3CDTF">2025-12-23T09:48:49Z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3076-12.2.0.23196</vt:lpwstr>
  </property>
  <property fmtid="{D5CDD505-2E9C-101B-9397-08002B2CF9AE}" pid="3" name="ICV">
    <vt:lpwstr>DB3C8785E8E44AEFBB5C54FBC6086B02_13</vt:lpwstr>
  </property>
</Properties>
</file>